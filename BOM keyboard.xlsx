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16D4E52C-6355-4A02-9776-20FE2687FD55}" xr6:coauthVersionLast="47" xr6:coauthVersionMax="47" xr10:uidLastSave="{00000000-0000-0000-0000-000000000000}"/>
  <bookViews>
    <workbookView xWindow="3405" yWindow="4125" windowWidth="28800" windowHeight="15345" xr2:uid="{D7B05BC2-D008-4A5C-9281-DF507E9A4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3" i="1"/>
  <c r="F2" i="1"/>
</calcChain>
</file>

<file path=xl/sharedStrings.xml><?xml version="1.0" encoding="utf-8"?>
<sst xmlns="http://schemas.openxmlformats.org/spreadsheetml/2006/main" count="51" uniqueCount="39">
  <si>
    <t>Product description</t>
  </si>
  <si>
    <t>Product name</t>
  </si>
  <si>
    <t>Product price</t>
  </si>
  <si>
    <t>Product link</t>
  </si>
  <si>
    <t>Product amount</t>
  </si>
  <si>
    <t>Product total</t>
  </si>
  <si>
    <t>Gateroon switches</t>
  </si>
  <si>
    <t>Hotswap module</t>
  </si>
  <si>
    <t>keycaps</t>
  </si>
  <si>
    <t>The microcontroller for the keyboard</t>
  </si>
  <si>
    <t>These are the switches that you type on</t>
  </si>
  <si>
    <t>These modules allow for the easy change of the switches</t>
  </si>
  <si>
    <t>The capacitors are for lowering the electrical noise before the LEDs</t>
  </si>
  <si>
    <t>5V level shifter (74AHCT125)</t>
  </si>
  <si>
    <t>LEDs (SK 6812 mini E)</t>
  </si>
  <si>
    <t>Microcontroller (YD-RP 2040)</t>
  </si>
  <si>
    <t>decoupling capacitors ( 100nF )</t>
  </si>
  <si>
    <t>A 5V level shifter for the data line on the LEDs</t>
  </si>
  <si>
    <t>The LEDs bellow the switches</t>
  </si>
  <si>
    <t>Keycaps</t>
  </si>
  <si>
    <t>Rotary encoder ( EC11E )</t>
  </si>
  <si>
    <t>A knob for twisting</t>
  </si>
  <si>
    <t>Diodes ( 1N4148W )</t>
  </si>
  <si>
    <t>Diodes, that stop form signal going back</t>
  </si>
  <si>
    <t>Oled screen ( 0.91 inch screen 128x32)</t>
  </si>
  <si>
    <t>A mini screen for displaying information</t>
  </si>
  <si>
    <t>Tantalum capacitor ( 470uF 6.3V D )</t>
  </si>
  <si>
    <t xml:space="preserve">A bulk capacitor </t>
  </si>
  <si>
    <t>Aliexpress</t>
  </si>
  <si>
    <t>Resistors ( Pack of many )</t>
  </si>
  <si>
    <t>Gateron</t>
  </si>
  <si>
    <t>Gateroon stabilizer</t>
  </si>
  <si>
    <t>makes the bigger switches not wable</t>
  </si>
  <si>
    <t>gateron</t>
  </si>
  <si>
    <r>
      <t>Resistors ( 4.7 k</t>
    </r>
    <r>
      <rPr>
        <sz val="11"/>
        <color theme="1"/>
        <rFont val="Calibri"/>
        <family val="2"/>
        <charset val="204"/>
      </rPr>
      <t>Ω</t>
    </r>
    <r>
      <rPr>
        <sz val="12.65"/>
        <color theme="1"/>
        <rFont val="Calibri"/>
        <family val="2"/>
      </rPr>
      <t xml:space="preserve"> and 350</t>
    </r>
    <r>
      <rPr>
        <sz val="12.65"/>
        <color theme="1"/>
        <rFont val="Calibri"/>
        <family val="2"/>
        <charset val="204"/>
      </rPr>
      <t>Ω</t>
    </r>
    <r>
      <rPr>
        <sz val="14.55"/>
        <color theme="1"/>
        <rFont val="Calibri"/>
        <family val="2"/>
      </rPr>
      <t>)</t>
    </r>
  </si>
  <si>
    <t>PCB</t>
  </si>
  <si>
    <t>JLCPCB</t>
  </si>
  <si>
    <t>Foam</t>
  </si>
  <si>
    <t>Used for making the keyboard sound betetr, its placed bellow the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</si>
</sst>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</font>
    <font>
      <sz val="12.65"/>
      <color theme="1"/>
      <name val="Calibri"/>
      <family val="2"/>
    </font>
    <font>
      <sz val="12.65"/>
      <color theme="1"/>
      <name val="Calibri"/>
      <family val="2"/>
      <charset val="204"/>
    </font>
    <font>
      <sz val="14.5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82826</xdr:colOff>
      <xdr:row>1</xdr:row>
      <xdr:rowOff>1783</xdr:rowOff>
    </xdr:from>
    <xdr:to>
      <xdr:col>12</xdr:col>
      <xdr:colOff>588065</xdr:colOff>
      <xdr:row>7</xdr:row>
      <xdr:rowOff>183454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6B4CD-FFE2-F340-DE71-78A09056E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4717" y="192283"/>
          <a:ext cx="3569805" cy="2467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8640132638.html?spm=a2g0o.productlist.main.1.318513dd5og9Pr&amp;algo_pvid=b333caaa-e48a-4661-9703-c340703e12b0&amp;algo_exp_id=b333caaa-e48a-4661-9703-c340703e12b0-0&amp;pdp_ext_f=%7B%22order%22%3A%224854%22%2C%22spu_best_type%22%3A%22price%22%2C%22eval%22%3A%221%22%2C%22fromPage%22%3A%22search%22%7D&amp;pdp_npi=6%40dis%21EUR%212.35%212.35%21%21%212.70%212.70%21%40211b612817722285357133245ed37a%2112000046056501838%21sea%21BG%217453050691%21X%211%210%21n_tag%3A-29913%3Bd%3A49a4a0bd%3Bm03_new_user%3A-29895&amp;curPageLogUid=1QPLEGb8Xexo&amp;utparam-url=scene%3Asearch%7Cquery_from%3A%7Cx_object_id%3A1005008640132638%7C_p_origin_prod%3A" TargetMode="External"/><Relationship Id="rId13" Type="http://schemas.openxmlformats.org/officeDocument/2006/relationships/hyperlink" Target="https://www.aliexpress.com/item/1005006111225091.html?spm=a2g0o.cart.0.0.d79538dapcoH2x&amp;mp=1&amp;pdp_npi=6%40dis%21EUR%21EUR%202.92%21EUR%202.78%21%21EUR%202.78%21%21%21%40210385bb17726537645166002e8b14%2112000035799539609%21ct%21BG%217453050691%21%211%210%21" TargetMode="External"/><Relationship Id="rId3" Type="http://schemas.openxmlformats.org/officeDocument/2006/relationships/hyperlink" Target="https://www.aliexpress.com/item/1005007470747384.html?spm=a2g0o.productlist.main.15.d6c83b54yHGPBg&amp;algo_pvid=58a8400c-efa1-4fbc-bcb8-ac69c438b07a&amp;algo_exp_id=58a8400c-efa1-4fbc-bcb8-ac69c438b07a-14&amp;pdp_ext_f=%7B%22order%22%3A%221505%22%2C%22eval%22%3A%221%22%2C%22fromPage%22%3A%22search%22%7D&amp;pdp_npi=6%40dis%21EUR%211.31%211.31%21%21%2110.30%2110.30%21%40211b876e17722275831756689e6251%2112000040888645864%21sea%21BG%217453050691%21X%211%210%21n_tag%3A-29913%3Bd%3A49a4a0bd%3Bm03_new_user%3A-29895&amp;curPageLogUid=Welo3JfDNEL5&amp;utparam-url=scene%3Asearch%7Cquery_from%3A%7Cx_object_id%3A1005007470747384%7C_p_origin_prod%3A" TargetMode="External"/><Relationship Id="rId7" Type="http://schemas.openxmlformats.org/officeDocument/2006/relationships/hyperlink" Target="https://www.aliexpress.com/item/1005010022053816.html?spm=a2g0o.productlist.main.2.2ff1988dsgjRqo&amp;algo_pvid=aa93a17b-4d5f-4d07-974b-8816d30fe47c&amp;algo_exp_id=aa93a17b-4d5f-4d07-974b-8816d30fe47c-1&amp;pdp_ext_f=%7B%22order%22%3A%2247%22%2C%22spu_best_type%22%3A%22price%22%2C%22eval%22%3A%221%22%2C%22fromPage%22%3A%22search%22%7D&amp;pdp_npi=6%40dis%21EUR%212.95%212.95%21%21%213.40%213.40%21%4021038e6617722283452054351e3d67%2112000050863798374%21sea%21BG%217453050691%21X%211%210%21n_tag%3A-29913%3Bd%3A49a4a0bd%3Bm03_new_user%3A-29895&amp;curPageLogUid=rUWakoUBMKlr&amp;utparam-url=scene%3Asearch%7Cquery_from%3A%7Cx_object_id%3A1005010022053816%7C_p_origin_prod%3A" TargetMode="External"/><Relationship Id="rId12" Type="http://schemas.openxmlformats.org/officeDocument/2006/relationships/hyperlink" Target="https://www.gateron.com/products/gateron-pcb-mounted-stabilizer?VariantsId=10539" TargetMode="External"/><Relationship Id="rId2" Type="http://schemas.openxmlformats.org/officeDocument/2006/relationships/hyperlink" Target="https://www.aliexpress.com/item/1005003379476726.html?spm=a2g0o.productlist.0.0.5501662ffIqebR&amp;mp=1&amp;pdp_npi=6%40dis%21USD%21USD%204.54%21USD%204.54%21%21USD%204.54%21%21%21%40211b431017722256340728705eb590%2112000025509441862%21ct%21BG%217453050691%21%211%210%21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aliexpress.com/item/1005005617180169.html?spm=a2g0o.productlist.0.0.69b69b58isnqYD&amp;mp=1&amp;pdp_npi=6%40dis%21EUR%21EUR%202.34%21EUR%202.34%21%21EUR%202.34%21%21%21%40210384cc17722273501372807e94d3%2112000039955164601%21ct%21BG%217453050691%21%211%210%21" TargetMode="External"/><Relationship Id="rId6" Type="http://schemas.openxmlformats.org/officeDocument/2006/relationships/hyperlink" Target="https://www.aliexpress.com/item/1005009417260572.html?spm=a2g0o.cart.0.0.486938da6CS1CB&amp;mp=1&amp;sourceType=620&amp;pdp_npi=6%40dis%21EUR%21EUR%2015.78%21EUR%2015.78%21%21EUR%2015.47%21%21%21%40210384cc17722281502945424e94d3%2112000049031955919%21ct%21BG%217453050691%21%211%210%21&amp;pdp_ext_f=%7B%22cart2PdpParams%22%3A%7B%22signature%22%3A%2276f9e47fe051ad09%22%7D%7D" TargetMode="External"/><Relationship Id="rId11" Type="http://schemas.openxmlformats.org/officeDocument/2006/relationships/hyperlink" Target="https://www.gateron.com/products/gateron-jupiter-switch-set?VariantsId=10736" TargetMode="External"/><Relationship Id="rId5" Type="http://schemas.openxmlformats.org/officeDocument/2006/relationships/hyperlink" Target="https://www.aliexpress.com/item/1005008591589739.html?spm=a2g0o.order_list.order_list_main.41.4be818020Uqdt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gateron.com/products/gateron-hot-swap-pcb-socket?VariantsId=10170" TargetMode="External"/><Relationship Id="rId4" Type="http://schemas.openxmlformats.org/officeDocument/2006/relationships/hyperlink" Target="https://www.aliexpress.com/item/1005007160563285.html?spm=a2g0o.productlist.main.1.7e7b3d00vYCAVd&amp;algo_pvid=d118921a-3c2e-494f-845f-70448e3f48ba&amp;algo_exp_id=d118921a-3c2e-494f-845f-70448e3f48ba-0&amp;pdp_ext_f=%7B%22order%22%3A%221018%22%2C%22spu_best_type%22%3A%22price%22%2C%22eval%22%3A%221%22%2C%22fromPage%22%3A%22search%22%7D&amp;pdp_npi=6%40dis%21USD%212.08%212.19%21%21%2114.16%2114.93%21%4021038e1e17722267110028396ec6dc%2112000039653324544%21sea%21BG%217453050691%21X%211%210%21n_tag%3A-29913%3Bd%3A49a4a0bd%3Bm03_new_user%3A-29895&amp;curPageLogUid=tLoKi0NWvNsL&amp;utparam-url=scene%3Asearch%7Cquery_from%3A%7Cx_object_id%3A1005007160563285%7C_p_origin_prod%3A" TargetMode="External"/><Relationship Id="rId9" Type="http://schemas.openxmlformats.org/officeDocument/2006/relationships/hyperlink" Target="https://www.aliexpress.com/item/1005010759489629.html?spm=a2g0o.detail.0.0.58805wQt5wQtMP&amp;mp=1&amp;pdp_npi=6%40dis%21EUR%21EUR%208.20%21EUR%204.10%21%21EUR%204.02%21%21%21%40210384cc17722277626998450e94d3%2112000053416130268%21ct%21BG%217453050691%21%211%210%21" TargetMode="External"/><Relationship Id="rId14" Type="http://schemas.openxmlformats.org/officeDocument/2006/relationships/hyperlink" Target="https://www.aliexpress.com/item/1005003843877335.html?spm=a2g0o.cart.0.0.d79538dapcoH2x&amp;mp=1&amp;pdp_npi=6%40dis%21EUR%21EUR%207.77%21EUR%207.77%21%21EUR%207.77%21%21%21%40210385bb17726537645166002e8b14%2112000044179107760%21ct%21BG%217453050691%21%211%210%21&amp;pdp_ext_f=%7B%22cart2PdpParams%22%3A%7B%22pdpBusinessMode%22%3A%22retail%22%7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CFEA-EC78-4232-85F0-5542C2F99966}">
  <dimension ref="A1:H16"/>
  <sheetViews>
    <sheetView tabSelected="1" zoomScale="115" zoomScaleNormal="115" workbookViewId="0">
      <selection activeCell="J16" sqref="J16"/>
    </sheetView>
  </sheetViews>
  <sheetFormatPr defaultRowHeight="15" x14ac:dyDescent="0.25"/>
  <cols>
    <col min="1" max="1" width="35.140625" bestFit="1" customWidth="1"/>
    <col min="2" max="2" width="32.28515625" bestFit="1" customWidth="1"/>
    <col min="3" max="4" width="12.7109375" bestFit="1" customWidth="1"/>
    <col min="5" max="5" width="15.28515625" bestFit="1" customWidth="1"/>
    <col min="6" max="6" width="12.42578125" bestFit="1" customWidth="1"/>
  </cols>
  <sheetData>
    <row r="1" spans="1:8" x14ac:dyDescent="0.25">
      <c r="A1" t="s">
        <v>1</v>
      </c>
      <c r="B1" s="1" t="s">
        <v>0</v>
      </c>
      <c r="C1" t="s">
        <v>3</v>
      </c>
      <c r="D1" t="s">
        <v>2</v>
      </c>
      <c r="E1" t="s">
        <v>4</v>
      </c>
      <c r="F1" t="s">
        <v>5</v>
      </c>
    </row>
    <row r="2" spans="1:8" ht="30" x14ac:dyDescent="0.25">
      <c r="A2" t="s">
        <v>15</v>
      </c>
      <c r="B2" s="1" t="s">
        <v>9</v>
      </c>
      <c r="C2" s="2" t="s">
        <v>28</v>
      </c>
      <c r="D2" s="3">
        <v>2.94</v>
      </c>
      <c r="E2">
        <v>1</v>
      </c>
      <c r="F2" s="3">
        <f>D2*E2</f>
        <v>2.94</v>
      </c>
      <c r="H2" s="3"/>
    </row>
    <row r="3" spans="1:8" ht="30" x14ac:dyDescent="0.25">
      <c r="A3" t="s">
        <v>6</v>
      </c>
      <c r="B3" s="1" t="s">
        <v>10</v>
      </c>
      <c r="C3" s="2" t="s">
        <v>30</v>
      </c>
      <c r="D3" s="3">
        <v>29</v>
      </c>
      <c r="E3">
        <v>1</v>
      </c>
      <c r="F3" s="3">
        <f>F2+D3*E3</f>
        <v>31.94</v>
      </c>
    </row>
    <row r="4" spans="1:8" ht="30" x14ac:dyDescent="0.25">
      <c r="A4" t="s">
        <v>7</v>
      </c>
      <c r="B4" s="1" t="s">
        <v>11</v>
      </c>
      <c r="C4" s="2" t="s">
        <v>30</v>
      </c>
      <c r="D4" s="3">
        <v>6.68</v>
      </c>
      <c r="E4">
        <v>1</v>
      </c>
      <c r="F4" s="3">
        <f t="shared" ref="F4:F16" si="0">F3+D4*E4</f>
        <v>38.620000000000005</v>
      </c>
    </row>
    <row r="5" spans="1:8" ht="30" x14ac:dyDescent="0.25">
      <c r="A5" t="s">
        <v>31</v>
      </c>
      <c r="B5" s="1" t="s">
        <v>32</v>
      </c>
      <c r="C5" s="2" t="s">
        <v>33</v>
      </c>
      <c r="D5" s="3">
        <v>9.4499999999999993</v>
      </c>
      <c r="E5">
        <v>1</v>
      </c>
      <c r="F5" s="3">
        <f t="shared" si="0"/>
        <v>48.070000000000007</v>
      </c>
    </row>
    <row r="6" spans="1:8" ht="30" x14ac:dyDescent="0.25">
      <c r="A6" t="s">
        <v>16</v>
      </c>
      <c r="B6" s="1" t="s">
        <v>12</v>
      </c>
      <c r="C6" s="2" t="s">
        <v>28</v>
      </c>
      <c r="D6" s="3">
        <v>1.61</v>
      </c>
      <c r="E6">
        <v>2</v>
      </c>
      <c r="F6" s="3">
        <f t="shared" si="0"/>
        <v>51.290000000000006</v>
      </c>
    </row>
    <row r="7" spans="1:8" ht="30" x14ac:dyDescent="0.25">
      <c r="A7" t="s">
        <v>13</v>
      </c>
      <c r="B7" s="1" t="s">
        <v>17</v>
      </c>
      <c r="C7" s="2" t="s">
        <v>28</v>
      </c>
      <c r="D7" s="3">
        <v>2.95</v>
      </c>
      <c r="E7">
        <v>1</v>
      </c>
      <c r="F7" s="3">
        <f t="shared" si="0"/>
        <v>54.240000000000009</v>
      </c>
    </row>
    <row r="8" spans="1:8" x14ac:dyDescent="0.25">
      <c r="A8" t="s">
        <v>14</v>
      </c>
      <c r="B8" s="1" t="s">
        <v>18</v>
      </c>
      <c r="C8" s="2" t="s">
        <v>28</v>
      </c>
      <c r="D8" s="3">
        <v>3.56</v>
      </c>
      <c r="E8">
        <v>2</v>
      </c>
      <c r="F8" s="3">
        <f t="shared" si="0"/>
        <v>61.360000000000007</v>
      </c>
    </row>
    <row r="9" spans="1:8" x14ac:dyDescent="0.25">
      <c r="A9" t="s">
        <v>8</v>
      </c>
      <c r="B9" s="1" t="s">
        <v>19</v>
      </c>
      <c r="C9" s="2" t="s">
        <v>28</v>
      </c>
      <c r="D9" s="3">
        <v>15.78</v>
      </c>
      <c r="E9">
        <v>1</v>
      </c>
      <c r="F9" s="3">
        <f t="shared" si="0"/>
        <v>77.14</v>
      </c>
    </row>
    <row r="10" spans="1:8" x14ac:dyDescent="0.25">
      <c r="A10" t="s">
        <v>20</v>
      </c>
      <c r="B10" s="1" t="s">
        <v>21</v>
      </c>
      <c r="C10" s="2" t="s">
        <v>28</v>
      </c>
      <c r="D10" s="3">
        <v>2.78</v>
      </c>
      <c r="E10">
        <v>1</v>
      </c>
      <c r="F10" s="3">
        <f t="shared" si="0"/>
        <v>79.92</v>
      </c>
    </row>
    <row r="11" spans="1:8" ht="30" x14ac:dyDescent="0.25">
      <c r="A11" t="s">
        <v>22</v>
      </c>
      <c r="B11" s="1" t="s">
        <v>23</v>
      </c>
      <c r="C11" s="2" t="s">
        <v>28</v>
      </c>
      <c r="D11" s="3">
        <v>1.84</v>
      </c>
      <c r="E11">
        <v>2</v>
      </c>
      <c r="F11" s="3">
        <f t="shared" si="0"/>
        <v>83.600000000000009</v>
      </c>
    </row>
    <row r="12" spans="1:8" ht="30" x14ac:dyDescent="0.25">
      <c r="A12" t="s">
        <v>24</v>
      </c>
      <c r="B12" s="1" t="s">
        <v>25</v>
      </c>
      <c r="C12" s="2" t="s">
        <v>28</v>
      </c>
      <c r="D12" s="3">
        <v>2.35</v>
      </c>
      <c r="E12">
        <v>1</v>
      </c>
      <c r="F12" s="3">
        <f t="shared" si="0"/>
        <v>85.95</v>
      </c>
    </row>
    <row r="13" spans="1:8" x14ac:dyDescent="0.25">
      <c r="A13" t="s">
        <v>26</v>
      </c>
      <c r="B13" s="1" t="s">
        <v>27</v>
      </c>
      <c r="C13" s="2" t="s">
        <v>28</v>
      </c>
      <c r="D13" s="3">
        <v>3.94</v>
      </c>
      <c r="E13">
        <v>1</v>
      </c>
      <c r="F13" s="3">
        <f t="shared" si="0"/>
        <v>89.89</v>
      </c>
    </row>
    <row r="14" spans="1:8" ht="18.75" x14ac:dyDescent="0.3">
      <c r="A14" t="s">
        <v>29</v>
      </c>
      <c r="B14" s="1" t="s">
        <v>34</v>
      </c>
      <c r="C14" s="2" t="s">
        <v>28</v>
      </c>
      <c r="D14" s="3">
        <v>4.0999999999999996</v>
      </c>
      <c r="E14">
        <v>1</v>
      </c>
      <c r="F14" s="3">
        <f t="shared" si="0"/>
        <v>93.99</v>
      </c>
    </row>
    <row r="15" spans="1:8" x14ac:dyDescent="0.25">
      <c r="A15" t="s">
        <v>35</v>
      </c>
      <c r="B15" s="1" t="s">
        <v>35</v>
      </c>
      <c r="C15" t="s">
        <v>36</v>
      </c>
      <c r="D15" s="3">
        <v>45</v>
      </c>
      <c r="E15">
        <v>1</v>
      </c>
      <c r="F15" s="3">
        <f t="shared" si="0"/>
        <v>138.99</v>
      </c>
    </row>
    <row r="16" spans="1:8" ht="45" x14ac:dyDescent="0.25">
      <c r="A16" t="s">
        <v>37</v>
      </c>
      <c r="B16" s="1" t="s">
        <v>38</v>
      </c>
      <c r="C16" s="2" t="s">
        <v>28</v>
      </c>
      <c r="D16" s="3">
        <v>7.77</v>
      </c>
      <c r="E16">
        <v>1</v>
      </c>
      <c r="F16" s="3">
        <f t="shared" si="0"/>
        <v>146.76000000000002</v>
      </c>
    </row>
  </sheetData>
  <hyperlinks>
    <hyperlink ref="C2" r:id="rId1" xr:uid="{1A2EE88F-3EED-4982-9DCF-FAD3A977A81F}"/>
    <hyperlink ref="C13" r:id="rId2" xr:uid="{F221A0FB-C57B-4A73-8F3B-F32AF15784D6}"/>
    <hyperlink ref="C6" r:id="rId3" xr:uid="{B11B8290-6BD6-4EC5-84DA-F535E653C413}"/>
    <hyperlink ref="C11" r:id="rId4" xr:uid="{C536002F-D093-4CEA-940C-6FC0894DFA44}"/>
    <hyperlink ref="C8" r:id="rId5" xr:uid="{073CABA4-B4FC-4432-AFC9-E215CC7F040D}"/>
    <hyperlink ref="C9" r:id="rId6" xr:uid="{66513692-C3BB-4D47-9EE1-31DB6DD0A540}"/>
    <hyperlink ref="C7" r:id="rId7" xr:uid="{8973D2DD-72B1-49EB-9355-57A8739D59D9}"/>
    <hyperlink ref="C12" r:id="rId8" xr:uid="{68E9968C-6665-425E-ABFB-D7473F59A3A8}"/>
    <hyperlink ref="C14" r:id="rId9" xr:uid="{C07B5EA2-7B97-493B-B20B-2CE45E1A373D}"/>
    <hyperlink ref="C4" r:id="rId10" xr:uid="{9270C991-5723-412F-B754-9F09396CBCBE}"/>
    <hyperlink ref="C3" r:id="rId11" xr:uid="{3B041E26-19C3-4E7A-87B6-E6E27F4AB4C6}"/>
    <hyperlink ref="C5" r:id="rId12" xr:uid="{0703504D-D45C-42C8-9E32-ED0AF68843BE}"/>
    <hyperlink ref="C10" r:id="rId13" xr:uid="{BF39E174-C41B-488A-AF31-01E7E585A2AE}"/>
    <hyperlink ref="C16" r:id="rId14" xr:uid="{EBE90320-2E7D-4423-B393-95086B6B09A2}"/>
  </hyperlinks>
  <pageMargins left="0.7" right="0.7" top="0.75" bottom="0.75" header="0.3" footer="0.3"/>
  <pageSetup orientation="portrait" verticalDpi="0" r:id="rId15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Dimitrov</dc:creator>
  <cp:lastModifiedBy>Anton Dimitrov</cp:lastModifiedBy>
  <dcterms:created xsi:type="dcterms:W3CDTF">2026-02-27T20:44:02Z</dcterms:created>
  <dcterms:modified xsi:type="dcterms:W3CDTF">2026-03-05T20:01:35Z</dcterms:modified>
</cp:coreProperties>
</file>